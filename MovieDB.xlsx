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sheetId="1" r:id="rId4"/>
  </sheets>
  <definedNames/>
  <calcPr/>
</workbook>
</file>

<file path=xl/sharedStrings.xml><?xml version="1.0" encoding="utf-8"?>
<sst xmlns="http://schemas.openxmlformats.org/spreadsheetml/2006/main" count="143" uniqueCount="102">
  <si>
    <t>ID</t>
  </si>
  <si>
    <t>Title</t>
  </si>
  <si>
    <t>Director Last</t>
  </si>
  <si>
    <t>Director First</t>
  </si>
  <si>
    <t>Release Date</t>
  </si>
  <si>
    <t>Star Actors</t>
  </si>
  <si>
    <t>Genre</t>
  </si>
  <si>
    <t>My Rating</t>
  </si>
  <si>
    <t>Cost on Amazon</t>
  </si>
  <si>
    <t>Series Count</t>
  </si>
  <si>
    <t>Critic Rating</t>
  </si>
  <si>
    <t>Synopsis</t>
  </si>
  <si>
    <t>Harry Potter and the Sorcerer's Stone</t>
  </si>
  <si>
    <t>Columbus</t>
  </si>
  <si>
    <t>Chris</t>
  </si>
  <si>
    <t>Daniel Radcliffe, Rupert Grint, Emma Watson</t>
  </si>
  <si>
    <t>Fiction Fantasy</t>
  </si>
  <si>
    <t>Adaptation of the first of J.K. Rowling's popular children's novels about Harry Potter, a boy who learns on his eleventh birthday that he is the orphaned son of two powerful wizards and possesses unique magical powers of his own. He is summoned from his life as an unwanted child to become a student at Hogwarts, an English boarding school for wizards. There, he meets several friends who become his closest allies and help him discover the truth about his parents' mysterious deaths.</t>
  </si>
  <si>
    <t>Harry Potter and the Chamber of Secrets</t>
  </si>
  <si>
    <t>The second instalment of boy wizard Harry Potter's adventures at Hogwarts School of Witchcraft and Wizardry, based on the novel by JK Rowling. A mysterious elf tells Harry to expect trouble during his second year at Hogwarts, but nothing can prepare him for trees that fight back, flying cars, spiders that talk and deadly warnings written in blood on the walls of the school.</t>
  </si>
  <si>
    <t>Harry Potter and the Prisoner of Azkaban</t>
  </si>
  <si>
    <t>Harry Potter's (Daniel Radcliffe) third year at Hogwarts starts off badly when he learns deranged killer Sirius Black (Gary Oldman) has escaped from Azkaban prison and is bent on murdering the teenage wizard. While Hermione's (Emma Watson) cat torments Ron's (Rupert Grint) sickly rat, causing a rift among the trio, a swarm of nasty Dementors is sent to protect the school from Black. A mysterious new teacher helps Harry learn to defend himself, but what is his secret tie to Sirius Black?</t>
  </si>
  <si>
    <t>Harry Potter and the Goblet of Fire</t>
  </si>
  <si>
    <t>The fourth movie in the Harry Potter franchise sees Harry (Daniel Radcliffe) returning for his fourth year at Hogwarts School of Witchcraft and Wizardry, along with his friends, Ron (Rupert Grint) and Hermione (Emma Watson). There is an upcoming tournament between the three major schools of magic, with one participant selected from each school by the Goblet of Fire. When Harry's name is drawn, even though he is not eligible and is a fourth player, he must compete in the dangerous contest.</t>
  </si>
  <si>
    <t>Harry Potter and the Order of the Phoenix</t>
  </si>
  <si>
    <t>Now in his fifth year at Hogwarts, Harry (Daniel Radcliffe) learns that many in the wizarding community do not know the truth of his encounter with Lord Voldemort. Cornelius Fudge, minister of Magic, appoints his toady, Dolores Umbridge, as Defense Against the Dark Arts teacher, for he fears that professor Dumbledore will take his job. But her teaching is deficient and her methods, cruel, so Harry prepares a group of students to defend the school against a rising tide of evil.</t>
  </si>
  <si>
    <t>Harry Potter and the Half-Blood Prince</t>
  </si>
  <si>
    <t>As Death Eaters wreak havoc in both Muggle and Wizard worlds, Hogwarts is no longer a safe haven for students. Though Harry (Daniel Radcliffe) suspects there are new dangers lurking within the castle walls, Dumbledore is more intent than ever on preparing the young wizard for the final battle with Voldemort. Meanwhile, teenage hormones run rampant through Hogwarts, presenting a different sort of danger. Love may be in the air, but tragedy looms, and Hogwarts may never be the same again.</t>
  </si>
  <si>
    <t>Harry Potter and the Deathly Hallows</t>
  </si>
  <si>
    <t>Without the guidance and protection of their professors, Harry (Daniel Radcliffe), Ron (Rupert Grint) and Hermione (Emma Watson) begin a mission to destroy the Horcruxes, the sources of Voldemort's immortality. Though they must rely on one another more than ever, dark forces threaten to tear them apart. Voldemort's Death Eaters have seized control of the Ministry of Magic and Hogwarts, and they are searching for Harry -- even as he and his friends prepare for the ultimate showdown.</t>
  </si>
  <si>
    <t>Fantastic Beasts and Where to find them</t>
  </si>
  <si>
    <t>Yates</t>
  </si>
  <si>
    <t>David</t>
  </si>
  <si>
    <t>Eddie Redmayne, Katherine Waterson, Dan Fogler</t>
  </si>
  <si>
    <t>The year is 1926, and Newt Scamander (Eddie Redmayne) has just completed a global excursion to find and document an extraordinary array of magical creatures. Arriving in New York for a brief stopover, he might have come and gone without incident, were it not for a No-Maj (American for Muggle) named Jacob, a misplaced magical case, and the escape of some of Newt's fantastic beasts, which could spell trouble for both the wizarding and No-Maj worlds.</t>
  </si>
  <si>
    <t>Frozen</t>
  </si>
  <si>
    <t>Lee</t>
  </si>
  <si>
    <t>Jenifer</t>
  </si>
  <si>
    <t>Kristen Bell, Idina Menzel, Jonathan Groff</t>
  </si>
  <si>
    <t>When their kingdom becomes trapped in perpetual winter, fearless Anna (Kristen Bell) joins forces with mountaineer Kristoff (Jonathan Groff) and his reindeer sidekick to find Anna's sister, Snow Queen Elsa (Idina Menzel), and break her icy spell. Although their epic journey leads them to encounters with mystical trolls, a comedic snowman (Josh Gad), harsh conditions, and magic at every turn, Anna and Kristoff bravely push onward in a race to save their kingdom from winter's cold grip.</t>
  </si>
  <si>
    <t>Moana</t>
  </si>
  <si>
    <t>Clements</t>
  </si>
  <si>
    <t>Ron</t>
  </si>
  <si>
    <t>Auli'i Cravalho, Dwayne Johnson, Rachel House</t>
  </si>
  <si>
    <t xml:space="preserve">An adventurous teenager sails out on a daring mission to save her people. During her journey, Moana meets the once-mighty demigod Maui, who guides her in her quest to become a master way-finder. Together they sail across the open ocean on an action-packed voyage, encountering enormous monsters and impossible odds. Along the way, Moana fulfills the ancient quest of her ancestors and discovers the one thing she always sought: her own identity.
</t>
  </si>
  <si>
    <t>Coco</t>
  </si>
  <si>
    <t>Unkrich</t>
  </si>
  <si>
    <t>Anthony Gonzalez, Gael Garcia Bernal, Benjamin Bratt</t>
  </si>
  <si>
    <t>Despite his family's generations-old ban on music, young Miguel dreams of becoming an accomplished musician like his idol Ernesto de la Cruz. Desperate to prove his talent, Miguel finds himself in the stunning and colorful Land of the Dead. After meeting a charming trickster named Héctor, the two new friends embark on an extraordinary journey to unlock the real story behind Miguel's family history.</t>
  </si>
  <si>
    <t>Finding Nemo</t>
  </si>
  <si>
    <t>Stanton</t>
  </si>
  <si>
    <t>Andrew</t>
  </si>
  <si>
    <t>Albert Brooks, Alexander Gould, Ellen DeGeneres</t>
  </si>
  <si>
    <t>Fiction</t>
  </si>
  <si>
    <t>Marlin (Albert Brooks), a clown fish, is overly cautious with his son, Nemo (Alexander Gould), who has a foreshortened fin. When Nemo swims too close to the surface to prove himself, he is caught by a diver, and horrified Marlin must set out to find him. A blue reef fish named Dory (Ellen DeGeneres) -- who has a really short memory -- joins Marlin and complicates the encounters with sharks, jellyfish, and a host of ocean dangers. Meanwhile, Nemo plots his escape from a dentist's fish tank.</t>
  </si>
  <si>
    <t>Finding Dory</t>
  </si>
  <si>
    <t>Ellen Degeneres, Ty Burrel, Ed O'Neil</t>
  </si>
  <si>
    <t>Dory (Ellen DeGeneres) is a wide-eyed, blue tang fish who suffers from memory loss every 10 seconds or so. The one thing she can remember is that she somehow became separated from her parents as a child. With help from her friends Nemo and Marlin, Dory embarks on an epic adventure to find them. Her journey brings her to the Marine Life Institute, a conservatory that houses diverse ocean species. Dory now knows that her family reunion will only happen if she can save mom and dad from captivity.</t>
  </si>
  <si>
    <t>Lion King</t>
  </si>
  <si>
    <t>Minkoff</t>
  </si>
  <si>
    <t>Rob</t>
  </si>
  <si>
    <t>James Earl Jones, Jeremy Irons, Nathan Lane</t>
  </si>
  <si>
    <t>Adventure</t>
  </si>
  <si>
    <t>This Disney animated feature follows the adventures of the young lion Simba (Jonathan Taylor Thomas), the heir of his father, Mufasa (James Earl Jones). Simba's wicked uncle, Scar (Jeremy Irons), plots to usurp Mufasa's throne by luring father and son into a stampede of wildebeests. But Simba escapes, and only Mufasa is killed. Simba returns as an adult (Matthew Broderick) to take back his homeland from Scar with the help of his friends Timon (Nathan Lane) and Pumbaa (Ernie Sabella).</t>
  </si>
  <si>
    <t>Aladdin</t>
  </si>
  <si>
    <t>Robin Williams, Scott Weinger, Linda Larkin</t>
  </si>
  <si>
    <t>Romance</t>
  </si>
  <si>
    <t>When street rat Aladdin frees a genie from a lamp, he finds his wishes granted. However, he soon finds that the evil has other plans for the lamp -- and for Princess Jasmine. But can Aladdin save Princess Jasmine and his love for her after she sees that he isn't quite what he appears to be?</t>
  </si>
  <si>
    <t>Incredibles</t>
  </si>
  <si>
    <t>Bird</t>
  </si>
  <si>
    <t>Brad</t>
  </si>
  <si>
    <t>Craig T. Nelson, Holly Hunter, Samuel L. Jackson</t>
  </si>
  <si>
    <t>Superhero</t>
  </si>
  <si>
    <t>In this lauded Pixar animated film, married superheroes Mr. Incredible (Craig T. Nelson) and Elastigirl (Holly Hunter) are forced to assume mundane lives as Bob and Helen Parr after all super-powered activities have been banned by the government. While Mr. Incredible loves his wife and kids, he longs to return to a life of adventure, and he gets a chance when summoned to an island to battle an out-of-control robot. Soon, Mr. Incredible is in trouble, and it's up to his family to save him.</t>
  </si>
  <si>
    <t>Incredibles 2</t>
  </si>
  <si>
    <t>Telecommunications guru Winston Deavor enlists Elastigirl to fight crime and make the public fall in love with superheroes once again. That leaves Mr. Incredible with one of his greatest challenges ever -- staying home and taking care of three rambunctious children. As Violet, Dash and Jack-Jack offer him a new set of headaches, a cybercriminal named Screenslaver launches his dastardly plan -- hypnotizing the world through computer screens.</t>
  </si>
  <si>
    <t>Inside Out</t>
  </si>
  <si>
    <t>Docter</t>
  </si>
  <si>
    <t>Pete</t>
  </si>
  <si>
    <t>Amy Poehler, Bill Hader, Phyllis Smith</t>
  </si>
  <si>
    <t>Fantasy</t>
  </si>
  <si>
    <t>Riley (Kaitlyn Dias) is a happy, hockey-loving 11-year-old Midwestern girl, but her world turns upside-down when she and her parents move to San Francisco. Riley's emotions -- led by Joy (Amy Poehler) -- try to guide her through this difficult, life-changing event. However, the stress of the move brings Sadness (Phyllis Smith) to the forefront. When Joy and Sadness are inadvertently swept into the far reaches of Riley's mind, the only emotions left in Headquarters are Anger, Fear and Disgust.</t>
  </si>
  <si>
    <t>Mulan</t>
  </si>
  <si>
    <t>Bancroft</t>
  </si>
  <si>
    <t>Tony</t>
  </si>
  <si>
    <t>Ming-Na Wen, Eddie Murphy, BD Wong</t>
  </si>
  <si>
    <t>Fearful that her ailing father will be drafted into the Chinese military, Mulan (Ming-Na Wen) takes his spot -- though, as a girl living under a patriarchal regime, she is technically unqualified to serve. She cleverly impersonates a man and goes off to train with fellow recruits. Accompanied by her dragon, Mushu (Eddie Murphy), she uses her smarts to help ward off a Hun invasion, falling in love with a dashing captain along the way.</t>
  </si>
  <si>
    <t>WALL-E</t>
  </si>
  <si>
    <t>Ben Burtt, Jeff Garlin, Elissa Knight</t>
  </si>
  <si>
    <t>Science Fiction</t>
  </si>
  <si>
    <t>WALL-E, short for Waste Allocation Load Lifter Earth-class, is the last robot left on Earth. He spends his days tidying up the planet, one piece of garbage at a time. But during 700 years, WALL-E has developed a personality, and he's more than a little lonely. Then he spots EVE (Elissa Knight), a sleek and shapely probe sent back to Earth on a scanning mission. Smitten WALL-E embarks on his greatest adventure yet when he follows EVE across the galaxy.</t>
  </si>
  <si>
    <t>Wreck It Ralph</t>
  </si>
  <si>
    <t>Toy Story</t>
  </si>
  <si>
    <t>Toy Story 2</t>
  </si>
  <si>
    <t>Toy Story 3</t>
  </si>
  <si>
    <t>Big Hero 6</t>
  </si>
  <si>
    <t>Zootopia</t>
  </si>
  <si>
    <t>Toy Story 4</t>
  </si>
  <si>
    <t>Cinderella</t>
  </si>
  <si>
    <t>Beauty and the Beast</t>
  </si>
  <si>
    <t>Hercules</t>
  </si>
  <si>
    <t>Monsters Inc.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</si>
</sst>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mmm d, yyyy"/>
  </numFmts>
  <fonts count="3">
    <font>
      <sz val="10.0"/>
      <color rgb="FF000000"/>
      <name val="Arial"/>
    </font>
    <font>
      <color theme="1"/>
      <name val="Arial"/>
    </font>
    <font>
      <sz val="11.0"/>
      <color rgb="FF222222"/>
      <name val="Robot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2" fontId="2" numFmtId="0" xfId="0" applyAlignment="1" applyBorder="1" applyFill="1" applyFont="1">
      <alignment horizontal="left" readingOrder="0" shrinkToFit="0"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1" fillId="2" fontId="2" numFmtId="0" xfId="0" applyAlignment="1" applyBorder="1" applyFont="1">
      <alignment horizontal="left" shrinkToFit="0" wrapText="1"/>
    </xf>
    <xf borderId="0" fillId="0" fontId="1" numFmtId="0" xfId="0" applyFont="1"/>
  </cellXfs>
  <cellStyles count="1">
    <cellStyle xfId="0" name="Normal" builtinId="0"/>
  </cellStyles>
  <dxfs count="7">
    <dxf>
      <font/>
      <fill>
        <patternFill patternType="solid">
          <fgColor rgb="FF8E7CC3"/>
          <bgColor rgb="FF8E7CC3"/>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E06666"/>
          <bgColor rgb="FFE06666"/>
        </patternFill>
      </fill>
      <border/>
    </dxf>
    <dxf>
      <font/>
      <fill>
        <patternFill patternType="solid">
          <fgColor rgb="FFC27BA0"/>
          <bgColor rgb="FFC27BA0"/>
        </patternFill>
      </fill>
      <border/>
    </dxf>
    <dxf>
      <font/>
      <fill>
        <patternFill patternType="solid">
          <fgColor rgb="FF6AA84F"/>
          <bgColor rgb="FF6AA84F"/>
        </patternFill>
      </fill>
      <border/>
    </dxf>
    <dxf>
      <font/>
      <fill>
        <patternFill patternType="solid">
          <fgColor rgb="FF9900FF"/>
          <bgColor rgb="FF99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29.29"/>
    <col customWidth="1" min="12" max="12" width="43.86"/>
  </cols>
  <sheetData>
    <row r="1">
      <c r="A1" s="1" t="s">
        <v>0</v>
      </c>
      <c r="B1" s="1" t="s">
        <v>1</v>
      </c>
      <c r="C1" s="1" t="s">
        <v>2</v>
      </c>
      <c r="D1" s="1" t="s">
        <v>3</v>
      </c>
      <c r="E1" s="1" t="s">
        <v>4</v>
      </c>
      <c r="F1" s="1" t="s">
        <v>5</v>
      </c>
      <c r="G1" s="1" t="s">
        <v>6</v>
      </c>
      <c r="H1" s="1" t="s">
        <v>7</v>
      </c>
      <c r="I1" s="1" t="s">
        <v>8</v>
      </c>
      <c r="J1" s="1" t="s">
        <v>9</v>
      </c>
      <c r="K1" s="1" t="s">
        <v>10</v>
      </c>
      <c r="L1" s="1" t="s">
        <v>11</v>
      </c>
    </row>
    <row r="2">
      <c r="A2" s="1">
        <v>1.0</v>
      </c>
      <c r="B2" s="1" t="s">
        <v>12</v>
      </c>
      <c r="C2" s="1" t="s">
        <v>13</v>
      </c>
      <c r="D2" s="1" t="s">
        <v>14</v>
      </c>
      <c r="E2" s="1">
        <v>2001.0</v>
      </c>
      <c r="F2" s="1" t="s">
        <v>15</v>
      </c>
      <c r="G2" s="1" t="s">
        <v>16</v>
      </c>
      <c r="H2" s="1">
        <v>5.0</v>
      </c>
      <c r="I2" s="2">
        <v>9.99</v>
      </c>
      <c r="J2" s="1">
        <v>7.0</v>
      </c>
      <c r="K2" s="1">
        <v>5.0</v>
      </c>
      <c r="L2" s="3" t="s">
        <v>17</v>
      </c>
    </row>
    <row r="3">
      <c r="A3" s="4">
        <f t="shared" ref="A3:A61" si="1">A2+1</f>
        <v>2</v>
      </c>
      <c r="B3" s="1" t="s">
        <v>18</v>
      </c>
      <c r="C3" s="1" t="s">
        <v>13</v>
      </c>
      <c r="D3" s="1" t="s">
        <v>14</v>
      </c>
      <c r="E3" s="1">
        <v>2002.0</v>
      </c>
      <c r="F3" s="1" t="s">
        <v>15</v>
      </c>
      <c r="G3" s="1" t="s">
        <v>16</v>
      </c>
      <c r="H3" s="1">
        <v>5.0</v>
      </c>
      <c r="I3" s="2">
        <v>9.99</v>
      </c>
      <c r="J3" s="1">
        <v>7.0</v>
      </c>
      <c r="K3" s="1">
        <v>5.0</v>
      </c>
      <c r="L3" s="3" t="s">
        <v>19</v>
      </c>
    </row>
    <row r="4">
      <c r="A4" s="4">
        <f t="shared" si="1"/>
        <v>3</v>
      </c>
      <c r="B4" s="1" t="s">
        <v>20</v>
      </c>
      <c r="C4" s="1" t="s">
        <v>13</v>
      </c>
      <c r="D4" s="1" t="s">
        <v>14</v>
      </c>
      <c r="E4" s="1">
        <v>2004.0</v>
      </c>
      <c r="F4" s="1" t="s">
        <v>15</v>
      </c>
      <c r="G4" s="1" t="s">
        <v>16</v>
      </c>
      <c r="H4" s="1">
        <v>5.0</v>
      </c>
      <c r="I4" s="2">
        <v>8.89</v>
      </c>
      <c r="J4" s="1">
        <v>7.0</v>
      </c>
      <c r="K4" s="1">
        <v>5.0</v>
      </c>
      <c r="L4" s="3" t="s">
        <v>21</v>
      </c>
    </row>
    <row r="5">
      <c r="A5" s="4">
        <f t="shared" si="1"/>
        <v>4</v>
      </c>
      <c r="B5" s="1" t="s">
        <v>22</v>
      </c>
      <c r="C5" s="1" t="s">
        <v>13</v>
      </c>
      <c r="D5" s="1" t="s">
        <v>14</v>
      </c>
      <c r="E5" s="1">
        <v>2005.0</v>
      </c>
      <c r="F5" s="1" t="s">
        <v>15</v>
      </c>
      <c r="G5" s="1" t="s">
        <v>16</v>
      </c>
      <c r="H5" s="1">
        <v>5.0</v>
      </c>
      <c r="I5" s="2">
        <v>9.99</v>
      </c>
      <c r="J5" s="1">
        <v>7.0</v>
      </c>
      <c r="K5" s="1">
        <v>3.85</v>
      </c>
      <c r="L5" s="3" t="s">
        <v>23</v>
      </c>
    </row>
    <row r="6">
      <c r="A6" s="4">
        <f t="shared" si="1"/>
        <v>5</v>
      </c>
      <c r="B6" s="1" t="s">
        <v>24</v>
      </c>
      <c r="C6" s="1" t="s">
        <v>13</v>
      </c>
      <c r="D6" s="1" t="s">
        <v>14</v>
      </c>
      <c r="E6" s="1">
        <v>2007.0</v>
      </c>
      <c r="F6" s="1" t="s">
        <v>15</v>
      </c>
      <c r="G6" s="1" t="s">
        <v>16</v>
      </c>
      <c r="H6" s="1">
        <v>5.0</v>
      </c>
      <c r="I6" s="2">
        <v>9.99</v>
      </c>
      <c r="J6" s="1">
        <v>7.0</v>
      </c>
      <c r="K6" s="1">
        <v>4.0</v>
      </c>
      <c r="L6" s="3" t="s">
        <v>25</v>
      </c>
    </row>
    <row r="7">
      <c r="A7" s="4">
        <f t="shared" si="1"/>
        <v>6</v>
      </c>
      <c r="B7" s="1" t="s">
        <v>26</v>
      </c>
      <c r="C7" s="1" t="s">
        <v>13</v>
      </c>
      <c r="D7" s="1" t="s">
        <v>14</v>
      </c>
      <c r="E7" s="1">
        <v>2009.0</v>
      </c>
      <c r="F7" s="1" t="s">
        <v>15</v>
      </c>
      <c r="G7" s="1" t="s">
        <v>16</v>
      </c>
      <c r="H7" s="1">
        <v>5.0</v>
      </c>
      <c r="I7" s="2">
        <v>7.01</v>
      </c>
      <c r="J7" s="1">
        <v>7.0</v>
      </c>
      <c r="K7" s="1">
        <v>3.8</v>
      </c>
      <c r="L7" s="3" t="s">
        <v>27</v>
      </c>
    </row>
    <row r="8">
      <c r="A8" s="4">
        <f t="shared" si="1"/>
        <v>7</v>
      </c>
      <c r="B8" s="1" t="s">
        <v>28</v>
      </c>
      <c r="C8" s="1" t="s">
        <v>13</v>
      </c>
      <c r="D8" s="1" t="s">
        <v>14</v>
      </c>
      <c r="E8" s="1">
        <v>2010.0</v>
      </c>
      <c r="F8" s="1" t="s">
        <v>15</v>
      </c>
      <c r="G8" s="1" t="s">
        <v>16</v>
      </c>
      <c r="H8" s="1">
        <v>5.0</v>
      </c>
      <c r="I8" s="2">
        <v>8.64</v>
      </c>
      <c r="J8" s="1">
        <v>7.0</v>
      </c>
      <c r="K8" s="1">
        <v>4.25</v>
      </c>
      <c r="L8" s="3" t="s">
        <v>29</v>
      </c>
    </row>
    <row r="9">
      <c r="A9" s="4">
        <f t="shared" si="1"/>
        <v>8</v>
      </c>
      <c r="B9" s="1" t="s">
        <v>30</v>
      </c>
      <c r="C9" s="1" t="s">
        <v>31</v>
      </c>
      <c r="D9" s="1" t="s">
        <v>32</v>
      </c>
      <c r="E9" s="1">
        <v>2018.0</v>
      </c>
      <c r="F9" s="1" t="s">
        <v>33</v>
      </c>
      <c r="G9" s="1" t="s">
        <v>16</v>
      </c>
      <c r="H9" s="1">
        <v>3.8</v>
      </c>
      <c r="I9" s="2">
        <v>13.0</v>
      </c>
      <c r="J9" s="1">
        <v>2.0</v>
      </c>
      <c r="K9" s="1">
        <v>3.75</v>
      </c>
      <c r="L9" s="3" t="s">
        <v>34</v>
      </c>
    </row>
    <row r="10">
      <c r="A10" s="4">
        <f t="shared" si="1"/>
        <v>9</v>
      </c>
      <c r="B10" s="1" t="s">
        <v>35</v>
      </c>
      <c r="C10" s="1" t="s">
        <v>36</v>
      </c>
      <c r="D10" s="1" t="s">
        <v>37</v>
      </c>
      <c r="E10" s="1">
        <v>2013.0</v>
      </c>
      <c r="F10" s="1" t="s">
        <v>38</v>
      </c>
      <c r="G10" s="1" t="s">
        <v>16</v>
      </c>
      <c r="H10" s="1">
        <v>5.0</v>
      </c>
      <c r="I10" s="2">
        <v>11.99</v>
      </c>
      <c r="J10" s="1">
        <v>1.0</v>
      </c>
      <c r="K10" s="1">
        <v>4.5</v>
      </c>
      <c r="L10" s="3" t="s">
        <v>39</v>
      </c>
    </row>
    <row r="11">
      <c r="A11" s="4">
        <f t="shared" si="1"/>
        <v>10</v>
      </c>
      <c r="B11" s="1" t="s">
        <v>40</v>
      </c>
      <c r="C11" s="1" t="s">
        <v>41</v>
      </c>
      <c r="D11" s="1" t="s">
        <v>42</v>
      </c>
      <c r="E11" s="1">
        <v>2016.0</v>
      </c>
      <c r="F11" s="1" t="s">
        <v>43</v>
      </c>
      <c r="G11" s="1" t="s">
        <v>16</v>
      </c>
      <c r="H11" s="1">
        <v>5.0</v>
      </c>
      <c r="I11" s="2">
        <v>14.99</v>
      </c>
      <c r="J11" s="1">
        <v>0.0</v>
      </c>
      <c r="K11" s="1">
        <v>4.3</v>
      </c>
      <c r="L11" s="3" t="s">
        <v>44</v>
      </c>
    </row>
    <row r="12">
      <c r="A12" s="4">
        <f t="shared" si="1"/>
        <v>11</v>
      </c>
      <c r="B12" s="1" t="s">
        <v>45</v>
      </c>
      <c r="C12" s="1" t="s">
        <v>46</v>
      </c>
      <c r="D12" s="1" t="s">
        <v>36</v>
      </c>
      <c r="E12" s="1">
        <v>2017.0</v>
      </c>
      <c r="F12" s="1" t="s">
        <v>47</v>
      </c>
      <c r="G12" s="1" t="s">
        <v>16</v>
      </c>
      <c r="H12" s="1">
        <v>4.5</v>
      </c>
      <c r="I12" s="2">
        <v>14.99</v>
      </c>
      <c r="J12" s="1">
        <v>0.0</v>
      </c>
      <c r="K12" s="1">
        <v>4.2</v>
      </c>
      <c r="L12" s="3" t="s">
        <v>48</v>
      </c>
    </row>
    <row r="13">
      <c r="A13" s="4">
        <f t="shared" si="1"/>
        <v>12</v>
      </c>
      <c r="B13" s="1" t="s">
        <v>49</v>
      </c>
      <c r="C13" s="1" t="s">
        <v>50</v>
      </c>
      <c r="D13" s="1" t="s">
        <v>51</v>
      </c>
      <c r="E13" s="1">
        <v>2003.0</v>
      </c>
      <c r="F13" s="1" t="s">
        <v>52</v>
      </c>
      <c r="G13" s="1" t="s">
        <v>53</v>
      </c>
      <c r="H13" s="1">
        <v>5.0</v>
      </c>
      <c r="I13" s="2">
        <v>14.24</v>
      </c>
      <c r="J13" s="1">
        <v>1.0</v>
      </c>
      <c r="K13" s="1">
        <v>4.0</v>
      </c>
      <c r="L13" s="3" t="s">
        <v>54</v>
      </c>
    </row>
    <row r="14">
      <c r="A14" s="4">
        <f t="shared" si="1"/>
        <v>13</v>
      </c>
      <c r="B14" s="1" t="s">
        <v>55</v>
      </c>
      <c r="C14" s="1" t="s">
        <v>50</v>
      </c>
      <c r="D14" s="1" t="s">
        <v>51</v>
      </c>
      <c r="E14" s="1">
        <v>2016.0</v>
      </c>
      <c r="F14" s="1" t="s">
        <v>56</v>
      </c>
      <c r="G14" s="1" t="s">
        <v>53</v>
      </c>
      <c r="H14" s="1">
        <v>5.0</v>
      </c>
      <c r="I14" s="2">
        <v>14.99</v>
      </c>
      <c r="J14" s="1">
        <v>1.0</v>
      </c>
      <c r="K14" s="1">
        <v>3.6</v>
      </c>
      <c r="L14" s="3" t="s">
        <v>57</v>
      </c>
    </row>
    <row r="15">
      <c r="A15" s="4">
        <f t="shared" si="1"/>
        <v>14</v>
      </c>
      <c r="B15" s="1" t="s">
        <v>58</v>
      </c>
      <c r="C15" s="1" t="s">
        <v>59</v>
      </c>
      <c r="D15" s="1" t="s">
        <v>60</v>
      </c>
      <c r="E15" s="1">
        <v>1994.0</v>
      </c>
      <c r="F15" s="1" t="s">
        <v>61</v>
      </c>
      <c r="G15" s="1" t="s">
        <v>62</v>
      </c>
      <c r="H15" s="1">
        <v>5.0</v>
      </c>
      <c r="I15" s="2">
        <v>8.76</v>
      </c>
      <c r="J15" s="1">
        <v>1.0</v>
      </c>
      <c r="K15" s="1">
        <v>4.25</v>
      </c>
      <c r="L15" s="3" t="s">
        <v>63</v>
      </c>
    </row>
    <row r="16">
      <c r="A16" s="4">
        <f t="shared" si="1"/>
        <v>15</v>
      </c>
      <c r="B16" s="1" t="s">
        <v>64</v>
      </c>
      <c r="C16" s="1" t="s">
        <v>41</v>
      </c>
      <c r="D16" s="1" t="s">
        <v>60</v>
      </c>
      <c r="E16" s="1">
        <v>1992.0</v>
      </c>
      <c r="F16" s="1" t="s">
        <v>65</v>
      </c>
      <c r="G16" s="1" t="s">
        <v>66</v>
      </c>
      <c r="H16" s="1">
        <v>5.0</v>
      </c>
      <c r="I16" s="2">
        <v>16.99</v>
      </c>
      <c r="J16" s="1">
        <v>2.0</v>
      </c>
      <c r="K16" s="1">
        <v>4.0</v>
      </c>
      <c r="L16" s="3" t="s">
        <v>67</v>
      </c>
    </row>
    <row r="17">
      <c r="A17" s="4">
        <f t="shared" si="1"/>
        <v>16</v>
      </c>
      <c r="B17" s="1" t="s">
        <v>68</v>
      </c>
      <c r="C17" s="1" t="s">
        <v>69</v>
      </c>
      <c r="D17" s="1" t="s">
        <v>70</v>
      </c>
      <c r="E17" s="1">
        <v>2004.0</v>
      </c>
      <c r="F17" s="1" t="s">
        <v>71</v>
      </c>
      <c r="G17" s="1" t="s">
        <v>72</v>
      </c>
      <c r="H17" s="1">
        <v>5.0</v>
      </c>
      <c r="I17" s="2">
        <v>10.93</v>
      </c>
      <c r="J17" s="1">
        <v>1.0</v>
      </c>
      <c r="K17" s="1">
        <v>4.0</v>
      </c>
      <c r="L17" s="3" t="s">
        <v>73</v>
      </c>
    </row>
    <row r="18">
      <c r="A18" s="4">
        <f t="shared" si="1"/>
        <v>17</v>
      </c>
      <c r="B18" s="1" t="s">
        <v>74</v>
      </c>
      <c r="C18" s="1" t="s">
        <v>69</v>
      </c>
      <c r="D18" s="1" t="s">
        <v>70</v>
      </c>
      <c r="E18" s="5">
        <v>43266.0</v>
      </c>
      <c r="F18" s="1" t="s">
        <v>71</v>
      </c>
      <c r="G18" s="1" t="s">
        <v>72</v>
      </c>
      <c r="H18" s="1">
        <v>5.0</v>
      </c>
      <c r="I18" s="2">
        <v>19.0</v>
      </c>
      <c r="J18" s="1">
        <v>1.0</v>
      </c>
      <c r="K18" s="1">
        <v>3.85</v>
      </c>
      <c r="L18" s="3" t="s">
        <v>75</v>
      </c>
    </row>
    <row r="19">
      <c r="A19" s="4">
        <f t="shared" si="1"/>
        <v>18</v>
      </c>
      <c r="B19" s="1" t="s">
        <v>76</v>
      </c>
      <c r="C19" s="1" t="s">
        <v>77</v>
      </c>
      <c r="D19" s="1" t="s">
        <v>78</v>
      </c>
      <c r="E19" s="5">
        <v>42174.0</v>
      </c>
      <c r="F19" s="1" t="s">
        <v>79</v>
      </c>
      <c r="G19" s="1" t="s">
        <v>80</v>
      </c>
      <c r="H19" s="1">
        <v>5.0</v>
      </c>
      <c r="I19" s="2">
        <v>16.38</v>
      </c>
      <c r="J19" s="1">
        <v>1.0</v>
      </c>
      <c r="K19" s="1">
        <v>4.1</v>
      </c>
      <c r="L19" s="3" t="s">
        <v>81</v>
      </c>
    </row>
    <row r="20">
      <c r="A20" s="4">
        <f t="shared" si="1"/>
        <v>19</v>
      </c>
      <c r="B20" s="1" t="s">
        <v>82</v>
      </c>
      <c r="C20" s="1" t="s">
        <v>83</v>
      </c>
      <c r="D20" s="1" t="s">
        <v>84</v>
      </c>
      <c r="E20" s="5">
        <v>35965.0</v>
      </c>
      <c r="F20" s="1" t="s">
        <v>85</v>
      </c>
      <c r="G20" s="1" t="s">
        <v>80</v>
      </c>
      <c r="H20" s="1">
        <v>5.0</v>
      </c>
      <c r="I20" s="2">
        <v>11.99</v>
      </c>
      <c r="J20" s="1">
        <v>1.0</v>
      </c>
      <c r="K20" s="1">
        <v>3.8</v>
      </c>
      <c r="L20" s="3" t="s">
        <v>86</v>
      </c>
    </row>
    <row r="21">
      <c r="A21" s="4">
        <f t="shared" si="1"/>
        <v>20</v>
      </c>
      <c r="B21" s="1" t="s">
        <v>87</v>
      </c>
      <c r="C21" s="1" t="s">
        <v>50</v>
      </c>
      <c r="D21" s="1" t="s">
        <v>51</v>
      </c>
      <c r="E21" s="5">
        <v>39626.0</v>
      </c>
      <c r="F21" s="1" t="s">
        <v>88</v>
      </c>
      <c r="G21" s="1" t="s">
        <v>89</v>
      </c>
      <c r="H21" s="1">
        <v>5.0</v>
      </c>
      <c r="I21" s="2">
        <v>10.57</v>
      </c>
      <c r="J21" s="1">
        <v>0.0</v>
      </c>
      <c r="K21" s="1">
        <v>4.2</v>
      </c>
      <c r="L21" s="3" t="s">
        <v>90</v>
      </c>
    </row>
    <row r="22">
      <c r="A22" s="4">
        <f t="shared" si="1"/>
        <v>21</v>
      </c>
      <c r="B22" s="1" t="s">
        <v>91</v>
      </c>
      <c r="C22" s="4"/>
      <c r="D22" s="4"/>
      <c r="E22" s="4"/>
      <c r="F22" s="4"/>
      <c r="G22" s="4"/>
      <c r="H22" s="1">
        <v>5.0</v>
      </c>
      <c r="I22" s="4"/>
      <c r="J22" s="4"/>
      <c r="K22" s="4"/>
      <c r="L22" s="6"/>
    </row>
    <row r="23">
      <c r="A23" s="4">
        <f t="shared" si="1"/>
        <v>22</v>
      </c>
      <c r="B23" s="1" t="s">
        <v>92</v>
      </c>
      <c r="C23" s="4"/>
      <c r="D23" s="4"/>
      <c r="E23" s="4"/>
      <c r="F23" s="4"/>
      <c r="G23" s="4"/>
      <c r="H23" s="1">
        <v>4.0</v>
      </c>
      <c r="I23" s="4"/>
      <c r="J23" s="4"/>
      <c r="K23" s="4"/>
      <c r="L23" s="4"/>
    </row>
    <row r="24">
      <c r="A24" s="4">
        <f t="shared" si="1"/>
        <v>23</v>
      </c>
      <c r="B24" s="1" t="s">
        <v>93</v>
      </c>
      <c r="C24" s="4"/>
      <c r="D24" s="4"/>
      <c r="E24" s="4"/>
      <c r="F24" s="4"/>
      <c r="G24" s="4"/>
      <c r="H24" s="1">
        <v>4.0</v>
      </c>
      <c r="I24" s="4"/>
      <c r="J24" s="4"/>
      <c r="K24" s="4"/>
      <c r="L24" s="4"/>
    </row>
    <row r="25">
      <c r="A25" s="4">
        <f t="shared" si="1"/>
        <v>24</v>
      </c>
      <c r="B25" s="1" t="s">
        <v>94</v>
      </c>
      <c r="C25" s="4"/>
      <c r="D25" s="4"/>
      <c r="E25" s="4"/>
      <c r="F25" s="4"/>
      <c r="G25" s="4"/>
      <c r="H25" s="1">
        <v>4.0</v>
      </c>
      <c r="I25" s="4"/>
      <c r="J25" s="4"/>
      <c r="K25" s="4"/>
      <c r="L25" s="4"/>
    </row>
    <row r="26">
      <c r="A26" s="4">
        <f t="shared" si="1"/>
        <v>25</v>
      </c>
      <c r="B26" s="1" t="s">
        <v>95</v>
      </c>
      <c r="C26" s="4"/>
      <c r="D26" s="4"/>
      <c r="E26" s="4"/>
      <c r="F26" s="4"/>
      <c r="G26" s="4"/>
      <c r="H26" s="1">
        <v>5.0</v>
      </c>
      <c r="I26" s="4"/>
      <c r="J26" s="4"/>
      <c r="K26" s="4"/>
      <c r="L26" s="4"/>
    </row>
    <row r="27">
      <c r="A27" s="4">
        <f t="shared" si="1"/>
        <v>26</v>
      </c>
      <c r="B27" s="1" t="s">
        <v>96</v>
      </c>
      <c r="C27" s="4"/>
      <c r="D27" s="4"/>
      <c r="E27" s="4"/>
      <c r="F27" s="4"/>
      <c r="G27" s="4"/>
      <c r="H27" s="1">
        <v>3.0</v>
      </c>
      <c r="I27" s="4"/>
      <c r="J27" s="4"/>
      <c r="K27" s="4"/>
      <c r="L27" s="4"/>
    </row>
    <row r="28">
      <c r="A28" s="4">
        <f t="shared" si="1"/>
        <v>27</v>
      </c>
      <c r="B28" s="1" t="s">
        <v>97</v>
      </c>
      <c r="C28" s="4"/>
      <c r="D28" s="4"/>
      <c r="E28" s="4"/>
      <c r="F28" s="4"/>
      <c r="G28" s="4"/>
      <c r="H28" s="1">
        <v>4.0</v>
      </c>
      <c r="I28" s="4"/>
      <c r="J28" s="4"/>
      <c r="K28" s="4"/>
      <c r="L28" s="4"/>
    </row>
    <row r="29">
      <c r="A29" s="4">
        <f t="shared" si="1"/>
        <v>28</v>
      </c>
      <c r="B29" s="1" t="s">
        <v>98</v>
      </c>
      <c r="C29" s="4"/>
      <c r="D29" s="4"/>
      <c r="E29" s="4"/>
      <c r="F29" s="4"/>
      <c r="G29" s="4"/>
      <c r="H29" s="1">
        <v>5.0</v>
      </c>
      <c r="I29" s="4"/>
      <c r="J29" s="4"/>
      <c r="K29" s="4"/>
      <c r="L29" s="4"/>
    </row>
    <row r="30">
      <c r="A30" s="4">
        <f t="shared" si="1"/>
        <v>29</v>
      </c>
      <c r="B30" s="1" t="s">
        <v>99</v>
      </c>
      <c r="C30" s="4"/>
      <c r="D30" s="4"/>
      <c r="E30" s="4"/>
      <c r="F30" s="4"/>
      <c r="G30" s="4"/>
      <c r="H30" s="1">
        <v>5.0</v>
      </c>
      <c r="I30" s="4"/>
      <c r="J30" s="4"/>
      <c r="K30" s="4"/>
      <c r="L30" s="4"/>
    </row>
    <row r="31">
      <c r="A31" s="4">
        <f t="shared" si="1"/>
        <v>30</v>
      </c>
      <c r="B31" s="1" t="s">
        <v>100</v>
      </c>
      <c r="C31" s="4"/>
      <c r="D31" s="4"/>
      <c r="E31" s="4"/>
      <c r="F31" s="4"/>
      <c r="G31" s="4"/>
      <c r="H31" s="1">
        <v>5.0</v>
      </c>
      <c r="I31" s="4"/>
      <c r="J31" s="4"/>
      <c r="K31" s="4"/>
      <c r="L31" s="4"/>
    </row>
    <row r="32">
      <c r="A32" s="4">
        <f t="shared" si="1"/>
        <v>31</v>
      </c>
      <c r="B32" s="1" t="s">
        <v>101</v>
      </c>
      <c r="C32" s="4"/>
      <c r="D32" s="4"/>
      <c r="E32" s="4"/>
      <c r="F32" s="4"/>
      <c r="G32" s="4"/>
      <c r="H32" s="1">
        <v>5.0</v>
      </c>
      <c r="I32" s="4"/>
      <c r="J32" s="4"/>
      <c r="K32" s="4"/>
      <c r="L32" s="4"/>
    </row>
    <row r="33">
      <c r="A33" s="4">
        <f t="shared" si="1"/>
        <v>32</v>
      </c>
      <c r="B33" s="4"/>
      <c r="C33" s="4"/>
      <c r="D33" s="4"/>
      <c r="E33" s="4"/>
      <c r="F33" s="4"/>
      <c r="G33" s="4"/>
      <c r="H33" s="4"/>
      <c r="I33" s="4"/>
      <c r="J33" s="4"/>
      <c r="K33" s="4"/>
      <c r="L33" s="4"/>
    </row>
    <row r="34">
      <c r="A34" s="4">
        <f t="shared" si="1"/>
        <v>33</v>
      </c>
      <c r="B34" s="4"/>
      <c r="C34" s="4"/>
      <c r="D34" s="4"/>
      <c r="E34" s="4"/>
      <c r="F34" s="4"/>
      <c r="G34" s="4"/>
      <c r="H34" s="4"/>
      <c r="I34" s="4"/>
      <c r="J34" s="4"/>
      <c r="K34" s="4"/>
      <c r="L34" s="4"/>
    </row>
    <row r="35">
      <c r="A35" s="4">
        <f t="shared" si="1"/>
        <v>34</v>
      </c>
      <c r="B35" s="4"/>
      <c r="C35" s="4"/>
      <c r="D35" s="4"/>
      <c r="E35" s="4"/>
      <c r="F35" s="4"/>
      <c r="G35" s="4"/>
      <c r="H35" s="4"/>
      <c r="I35" s="4"/>
      <c r="J35" s="4"/>
      <c r="K35" s="4"/>
      <c r="L35" s="4"/>
    </row>
    <row r="36">
      <c r="A36" s="4">
        <f t="shared" si="1"/>
        <v>35</v>
      </c>
      <c r="B36" s="4"/>
      <c r="C36" s="4"/>
      <c r="D36" s="4"/>
      <c r="E36" s="4"/>
      <c r="F36" s="4"/>
      <c r="G36" s="4"/>
      <c r="H36" s="4"/>
      <c r="I36" s="4"/>
      <c r="J36" s="4"/>
      <c r="K36" s="4"/>
      <c r="L36" s="4"/>
    </row>
    <row r="37">
      <c r="A37" s="4">
        <f t="shared" si="1"/>
        <v>36</v>
      </c>
      <c r="B37" s="4"/>
      <c r="C37" s="4"/>
      <c r="D37" s="4"/>
      <c r="E37" s="4"/>
      <c r="F37" s="4"/>
      <c r="G37" s="4"/>
      <c r="H37" s="4"/>
      <c r="I37" s="4"/>
      <c r="J37" s="4"/>
      <c r="K37" s="4"/>
      <c r="L37" s="4"/>
    </row>
    <row r="38">
      <c r="A38" s="4">
        <f t="shared" si="1"/>
        <v>37</v>
      </c>
      <c r="B38" s="4"/>
      <c r="C38" s="4"/>
      <c r="D38" s="4"/>
      <c r="E38" s="4"/>
      <c r="F38" s="4"/>
      <c r="G38" s="4"/>
      <c r="H38" s="4"/>
      <c r="I38" s="4"/>
      <c r="J38" s="4"/>
      <c r="K38" s="4"/>
      <c r="L38" s="4"/>
    </row>
    <row r="39">
      <c r="A39" s="4">
        <f t="shared" si="1"/>
        <v>38</v>
      </c>
      <c r="B39" s="4"/>
      <c r="C39" s="4"/>
      <c r="D39" s="4"/>
      <c r="E39" s="4"/>
      <c r="F39" s="4"/>
      <c r="G39" s="4"/>
      <c r="H39" s="4"/>
      <c r="I39" s="4"/>
      <c r="J39" s="4"/>
      <c r="K39" s="4"/>
      <c r="L39" s="4"/>
    </row>
    <row r="40">
      <c r="A40" s="4">
        <f t="shared" si="1"/>
        <v>39</v>
      </c>
      <c r="B40" s="4"/>
      <c r="C40" s="4"/>
      <c r="D40" s="4"/>
      <c r="E40" s="4"/>
      <c r="F40" s="4"/>
      <c r="G40" s="4"/>
      <c r="H40" s="4"/>
      <c r="I40" s="4"/>
      <c r="J40" s="4"/>
      <c r="K40" s="4"/>
      <c r="L40" s="4"/>
    </row>
    <row r="41">
      <c r="A41" s="4">
        <f t="shared" si="1"/>
        <v>40</v>
      </c>
      <c r="B41" s="4"/>
      <c r="C41" s="4"/>
      <c r="D41" s="4"/>
      <c r="E41" s="4"/>
      <c r="F41" s="4"/>
      <c r="G41" s="4"/>
      <c r="H41" s="4"/>
      <c r="I41" s="4"/>
      <c r="J41" s="4"/>
      <c r="K41" s="4"/>
      <c r="L41" s="4"/>
    </row>
    <row r="42">
      <c r="A42" s="4">
        <f t="shared" si="1"/>
        <v>41</v>
      </c>
      <c r="B42" s="4"/>
      <c r="C42" s="4"/>
      <c r="D42" s="4"/>
      <c r="E42" s="4"/>
      <c r="F42" s="4"/>
      <c r="G42" s="4"/>
      <c r="H42" s="4"/>
      <c r="I42" s="4"/>
      <c r="J42" s="4"/>
      <c r="K42" s="4"/>
      <c r="L42" s="4"/>
    </row>
    <row r="43">
      <c r="A43" s="4">
        <f t="shared" si="1"/>
        <v>42</v>
      </c>
      <c r="B43" s="4"/>
      <c r="C43" s="4"/>
      <c r="D43" s="4"/>
      <c r="E43" s="4"/>
      <c r="F43" s="4"/>
      <c r="G43" s="4"/>
      <c r="H43" s="4"/>
      <c r="I43" s="4"/>
      <c r="J43" s="4"/>
      <c r="K43" s="4"/>
      <c r="L43" s="4"/>
    </row>
    <row r="44">
      <c r="A44" s="4">
        <f t="shared" si="1"/>
        <v>43</v>
      </c>
      <c r="B44" s="4"/>
      <c r="C44" s="4"/>
      <c r="D44" s="4"/>
      <c r="E44" s="4"/>
      <c r="F44" s="4"/>
      <c r="G44" s="4"/>
      <c r="H44" s="4"/>
      <c r="I44" s="4"/>
      <c r="J44" s="4"/>
      <c r="K44" s="1"/>
      <c r="L44" s="4"/>
    </row>
    <row r="45">
      <c r="A45" s="4">
        <f t="shared" si="1"/>
        <v>44</v>
      </c>
      <c r="B45" s="4"/>
      <c r="C45" s="4"/>
      <c r="D45" s="4"/>
      <c r="E45" s="4"/>
      <c r="F45" s="4"/>
      <c r="G45" s="4"/>
      <c r="H45" s="4"/>
      <c r="I45" s="4"/>
      <c r="J45" s="4"/>
      <c r="K45" s="1"/>
      <c r="L45" s="4"/>
    </row>
    <row r="46">
      <c r="A46" s="4">
        <f t="shared" si="1"/>
        <v>45</v>
      </c>
      <c r="B46" s="4"/>
      <c r="C46" s="4"/>
      <c r="D46" s="4"/>
      <c r="E46" s="4"/>
      <c r="F46" s="4"/>
      <c r="G46" s="4"/>
      <c r="H46" s="4"/>
      <c r="I46" s="4"/>
      <c r="J46" s="4"/>
      <c r="K46" s="1"/>
      <c r="L46" s="4"/>
    </row>
    <row r="47">
      <c r="A47" s="4">
        <f t="shared" si="1"/>
        <v>46</v>
      </c>
      <c r="B47" s="4"/>
      <c r="C47" s="4"/>
      <c r="D47" s="4"/>
      <c r="E47" s="4"/>
      <c r="F47" s="4"/>
      <c r="G47" s="4"/>
      <c r="H47" s="4"/>
      <c r="I47" s="4"/>
      <c r="J47" s="4"/>
      <c r="K47" s="1"/>
      <c r="L47" s="4"/>
    </row>
    <row r="48">
      <c r="A48" s="4">
        <f t="shared" si="1"/>
        <v>47</v>
      </c>
      <c r="B48" s="4"/>
      <c r="C48" s="4"/>
      <c r="D48" s="4"/>
      <c r="E48" s="4"/>
      <c r="F48" s="4"/>
      <c r="G48" s="4"/>
      <c r="H48" s="4"/>
      <c r="I48" s="4"/>
      <c r="J48" s="4"/>
      <c r="K48" s="1"/>
      <c r="L48" s="4"/>
    </row>
    <row r="49">
      <c r="A49" s="4">
        <f t="shared" si="1"/>
        <v>48</v>
      </c>
      <c r="B49" s="4"/>
      <c r="C49" s="4"/>
      <c r="D49" s="4"/>
      <c r="E49" s="4"/>
      <c r="F49" s="4"/>
      <c r="G49" s="4"/>
      <c r="H49" s="4"/>
      <c r="I49" s="4"/>
      <c r="J49" s="4"/>
      <c r="K49" s="1"/>
      <c r="L49" s="4"/>
    </row>
    <row r="50">
      <c r="A50" s="4">
        <f t="shared" si="1"/>
        <v>49</v>
      </c>
      <c r="B50" s="4"/>
      <c r="C50" s="4"/>
      <c r="D50" s="4"/>
      <c r="E50" s="4"/>
      <c r="F50" s="4"/>
      <c r="G50" s="4"/>
      <c r="H50" s="4"/>
      <c r="I50" s="4"/>
      <c r="J50" s="4"/>
      <c r="K50" s="1"/>
      <c r="L50" s="4"/>
    </row>
    <row r="51">
      <c r="A51" s="4">
        <f t="shared" si="1"/>
        <v>50</v>
      </c>
      <c r="B51" s="4"/>
      <c r="C51" s="4"/>
      <c r="D51" s="4"/>
      <c r="E51" s="4"/>
      <c r="F51" s="4"/>
      <c r="G51" s="4"/>
      <c r="H51" s="4"/>
      <c r="I51" s="4"/>
      <c r="J51" s="4"/>
      <c r="K51" s="1"/>
      <c r="L51" s="4"/>
    </row>
    <row r="52">
      <c r="A52" s="4">
        <f t="shared" si="1"/>
        <v>51</v>
      </c>
      <c r="B52" s="4"/>
      <c r="C52" s="4"/>
      <c r="D52" s="4"/>
      <c r="E52" s="4"/>
      <c r="F52" s="4"/>
      <c r="G52" s="4"/>
      <c r="H52" s="4"/>
      <c r="I52" s="4"/>
      <c r="J52" s="4"/>
      <c r="K52" s="1"/>
      <c r="L52" s="4"/>
    </row>
    <row r="53">
      <c r="A53" s="4">
        <f t="shared" si="1"/>
        <v>52</v>
      </c>
      <c r="B53" s="4"/>
      <c r="C53" s="4"/>
      <c r="D53" s="4"/>
      <c r="E53" s="4"/>
      <c r="F53" s="4"/>
      <c r="G53" s="4"/>
      <c r="H53" s="4"/>
      <c r="I53" s="4"/>
      <c r="J53" s="4"/>
      <c r="K53" s="1"/>
      <c r="L53" s="4"/>
    </row>
    <row r="54">
      <c r="A54" s="4">
        <f t="shared" si="1"/>
        <v>53</v>
      </c>
      <c r="B54" s="4"/>
      <c r="C54" s="4"/>
      <c r="D54" s="4"/>
      <c r="E54" s="4"/>
      <c r="F54" s="4"/>
      <c r="G54" s="4"/>
      <c r="H54" s="4"/>
      <c r="I54" s="4"/>
      <c r="J54" s="4"/>
      <c r="K54" s="1"/>
      <c r="L54" s="4"/>
    </row>
    <row r="55">
      <c r="A55" s="4">
        <f t="shared" si="1"/>
        <v>54</v>
      </c>
      <c r="B55" s="4"/>
      <c r="C55" s="4"/>
      <c r="D55" s="4"/>
      <c r="E55" s="4"/>
      <c r="F55" s="4"/>
      <c r="G55" s="4"/>
      <c r="H55" s="4"/>
      <c r="I55" s="4"/>
      <c r="J55" s="4"/>
      <c r="K55" s="4"/>
      <c r="L55" s="4"/>
    </row>
    <row r="56">
      <c r="A56" s="4">
        <f t="shared" si="1"/>
        <v>55</v>
      </c>
      <c r="B56" s="4"/>
      <c r="C56" s="4"/>
      <c r="D56" s="4"/>
      <c r="E56" s="4"/>
      <c r="F56" s="4"/>
      <c r="G56" s="4"/>
      <c r="H56" s="4"/>
      <c r="I56" s="4"/>
      <c r="J56" s="4"/>
      <c r="K56" s="1"/>
      <c r="L56" s="4"/>
    </row>
    <row r="57">
      <c r="A57" s="4">
        <f t="shared" si="1"/>
        <v>56</v>
      </c>
      <c r="B57" s="4"/>
      <c r="C57" s="4"/>
      <c r="D57" s="4"/>
      <c r="E57" s="4"/>
      <c r="F57" s="4"/>
      <c r="G57" s="4"/>
      <c r="H57" s="4"/>
      <c r="I57" s="4"/>
      <c r="J57" s="4"/>
      <c r="K57" s="1"/>
      <c r="L57" s="4"/>
    </row>
    <row r="58">
      <c r="A58" s="4">
        <f t="shared" si="1"/>
        <v>57</v>
      </c>
      <c r="B58" s="4"/>
      <c r="C58" s="4"/>
      <c r="D58" s="4"/>
      <c r="E58" s="4"/>
      <c r="F58" s="4"/>
      <c r="G58" s="4"/>
      <c r="H58" s="4"/>
      <c r="I58" s="4"/>
      <c r="J58" s="4"/>
      <c r="K58" s="1"/>
      <c r="L58" s="4"/>
    </row>
    <row r="59">
      <c r="A59" s="4">
        <f t="shared" si="1"/>
        <v>58</v>
      </c>
      <c r="B59" s="4"/>
      <c r="C59" s="4"/>
      <c r="D59" s="4"/>
      <c r="E59" s="4"/>
      <c r="F59" s="4"/>
      <c r="G59" s="4"/>
      <c r="H59" s="4"/>
      <c r="I59" s="4"/>
      <c r="J59" s="4"/>
      <c r="K59" s="1"/>
      <c r="L59" s="4"/>
    </row>
    <row r="60">
      <c r="A60" s="4">
        <f t="shared" si="1"/>
        <v>59</v>
      </c>
      <c r="B60" s="4"/>
      <c r="C60" s="4"/>
      <c r="D60" s="4"/>
      <c r="E60" s="4"/>
      <c r="F60" s="4"/>
      <c r="G60" s="4"/>
      <c r="H60" s="4"/>
      <c r="I60" s="4"/>
      <c r="J60" s="4"/>
      <c r="K60" s="1"/>
      <c r="L60" s="4"/>
    </row>
    <row r="61">
      <c r="A61" s="4">
        <f t="shared" si="1"/>
        <v>60</v>
      </c>
      <c r="B61" s="4"/>
      <c r="C61" s="4"/>
      <c r="D61" s="4"/>
      <c r="E61" s="4"/>
      <c r="F61" s="4"/>
      <c r="G61" s="4"/>
      <c r="H61" s="4"/>
      <c r="I61" s="4"/>
      <c r="J61" s="4"/>
      <c r="K61" s="4"/>
      <c r="L61" s="4"/>
    </row>
    <row r="64">
      <c r="H64" s="7">
        <f>AVERAGE(H2:H59)</f>
        <v>4.751612903</v>
      </c>
      <c r="K64" s="7">
        <f>AVERAGE(K2:K60)</f>
        <v>4.1725</v>
      </c>
    </row>
  </sheetData>
  <conditionalFormatting sqref="L60">
    <cfRule type="cellIs" dxfId="0" priority="1" operator="equal">
      <formula>"Science Fiction"</formula>
    </cfRule>
  </conditionalFormatting>
  <conditionalFormatting sqref="L60">
    <cfRule type="notContainsBlanks" dxfId="1" priority="2">
      <formula>LEN(TRIM(L60))&gt;0</formula>
    </cfRule>
  </conditionalFormatting>
  <conditionalFormatting sqref="L60">
    <cfRule type="notContainsBlanks" dxfId="1" priority="3">
      <formula>LEN(TRIM(L60))&gt;0</formula>
    </cfRule>
  </conditionalFormatting>
  <conditionalFormatting sqref="A2:L61">
    <cfRule type="expression" dxfId="2" priority="4">
      <formula>$G2="Fiction Fantasy"</formula>
    </cfRule>
  </conditionalFormatting>
  <conditionalFormatting sqref="A2:L61">
    <cfRule type="expression" dxfId="2" priority="5">
      <formula>$G2="Fantasy"</formula>
    </cfRule>
  </conditionalFormatting>
  <conditionalFormatting sqref="A2:L61">
    <cfRule type="expression" dxfId="1" priority="6">
      <formula>$G2="Fiction"</formula>
    </cfRule>
  </conditionalFormatting>
  <conditionalFormatting sqref="A2:L61">
    <cfRule type="expression" dxfId="3" priority="7">
      <formula>$G2="Adventure"</formula>
    </cfRule>
  </conditionalFormatting>
  <conditionalFormatting sqref="A2:L61">
    <cfRule type="expression" dxfId="4" priority="8">
      <formula>$G2="Romance"</formula>
    </cfRule>
  </conditionalFormatting>
  <conditionalFormatting sqref="A2:L61">
    <cfRule type="expression" dxfId="5" priority="9">
      <formula>$G2="Superhero"</formula>
    </cfRule>
  </conditionalFormatting>
  <conditionalFormatting sqref="A2:L61">
    <cfRule type="expression" dxfId="6" priority="10">
      <formula>$G2="Science Fiction"</formula>
    </cfRule>
  </conditionalFormatting>
  <drawing r:id="rId1"/>
</worksheet>
</file>